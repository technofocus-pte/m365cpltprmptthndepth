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3 Budget vs Actuals" sheetId="1" state="visible" r:id="rId3"/>
    <sheet name="Assumptions &amp; No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<sst xmlns="http://schemas.openxmlformats.org/spreadsheetml/2006/main" count="54" uniqueCount="54">
  <si>
    <t xml:space="preserve">Contoso Inc. — Q3 Budget vs. Actuals</t>
  </si>
  <si>
    <t xml:space="preserve">Prepared for: Friday Leadership Review</t>
  </si>
  <si>
    <t xml:space="preserve">All figures in USD ($000s) unless noted</t>
  </si>
  <si>
    <t xml:space="preserve">Department / Line Item</t>
  </si>
  <si>
    <t xml:space="preserve">Q3 Budget</t>
  </si>
  <si>
    <t xml:space="preserve">Q3 Actual</t>
  </si>
  <si>
    <t xml:space="preserve">Variance ($)</t>
  </si>
  <si>
    <t xml:space="preserve">Variance (%)</t>
  </si>
  <si>
    <t xml:space="preserve">Status</t>
  </si>
  <si>
    <t xml:space="preserve">Notes</t>
  </si>
  <si>
    <t xml:space="preserve">Sales &amp; Marketing</t>
  </si>
  <si>
    <t xml:space="preserve">  Paid Social Advertising</t>
  </si>
  <si>
    <t xml:space="preserve">Two campaigns extended past planned end date w/o budget adjustment</t>
  </si>
  <si>
    <t xml:space="preserve">  Events &amp; Sponsorships</t>
  </si>
  <si>
    <t xml:space="preserve">Under due to one cancelled conference</t>
  </si>
  <si>
    <t xml:space="preserve">  Content &amp; Creative</t>
  </si>
  <si>
    <t xml:space="preserve">  Marketing Tools/SaaS</t>
  </si>
  <si>
    <t xml:space="preserve">Sales &amp; Marketing Subtotal</t>
  </si>
  <si>
    <t xml:space="preserve">Customer Success</t>
  </si>
  <si>
    <t xml:space="preserve">  Onboarding &amp; Training</t>
  </si>
  <si>
    <t xml:space="preserve">  Support Tooling</t>
  </si>
  <si>
    <t xml:space="preserve">Added seat licenses for new CS hires</t>
  </si>
  <si>
    <t xml:space="preserve">  Travel (Client Visits)</t>
  </si>
  <si>
    <t xml:space="preserve">Fewer on-site visits than planned</t>
  </si>
  <si>
    <t xml:space="preserve">Customer Success Subtotal</t>
  </si>
  <si>
    <t xml:space="preserve">Engineering</t>
  </si>
  <si>
    <t xml:space="preserve">  Cloud Infrastructure</t>
  </si>
  <si>
    <t xml:space="preserve">  Contractor/Contingent Labor</t>
  </si>
  <si>
    <t xml:space="preserve">Backfilled 2 open roles with contractors</t>
  </si>
  <si>
    <t xml:space="preserve">  Dev Tools &amp; Licenses</t>
  </si>
  <si>
    <t xml:space="preserve">Engineering Subtotal</t>
  </si>
  <si>
    <t xml:space="preserve">General &amp; Administrative</t>
  </si>
  <si>
    <t xml:space="preserve">  Office &amp; Facilities</t>
  </si>
  <si>
    <t xml:space="preserve">  Professional Services (Legal/Audit)</t>
  </si>
  <si>
    <t xml:space="preserve">Unbudgeted legal review of Contoso renewal contract</t>
  </si>
  <si>
    <t xml:space="preserve">  Travel &amp; Entertainment</t>
  </si>
  <si>
    <t xml:space="preserve">G&amp;A Subtotal</t>
  </si>
  <si>
    <t xml:space="preserve">TOTAL — Q3</t>
  </si>
  <si>
    <t xml:space="preserve">Assumptions &amp; Data Notes</t>
  </si>
  <si>
    <t xml:space="preserve">Source</t>
  </si>
  <si>
    <t xml:space="preserve">Sample data built for the Cowork Prompting Lab (Task Type 3: Forecast Performance). Figures are illustrative, not real financials.</t>
  </si>
  <si>
    <t xml:space="preserve">Period</t>
  </si>
  <si>
    <t xml:space="preserve">Q3 (July-September), figures in USD thousands ($000s).</t>
  </si>
  <si>
    <t xml:space="preserve">Color key</t>
  </si>
  <si>
    <t xml:space="preserve">Blue = hardcoded input (budget/actual). Black = formula (variance, %, status). Do not overwrite black cells.</t>
  </si>
  <si>
    <t xml:space="preserve">Top variances to discuss (for the lab exercise)</t>
  </si>
  <si>
    <t xml:space="preserve">1. Paid Social Advertising</t>
  </si>
  <si>
    <t xml:space="preserve">+$47K (+26%) — campaigns extended past planned end date without a budget adjustment.</t>
  </si>
  <si>
    <t xml:space="preserve">2. Contractor/Contingent Labor (Engineering)</t>
  </si>
  <si>
    <t xml:space="preserve">+$27K (+32%) — backfilled two open roles with contractors instead of budgeted FTEs.</t>
  </si>
  <si>
    <t xml:space="preserve">3. Professional Services (G&amp;A)</t>
  </si>
  <si>
    <t xml:space="preserve">+$13K (+29%) — unbudgeted legal review tied to the Contoso renewal contract.</t>
  </si>
  <si>
    <t xml:space="preserve">How this maps to the lab</t>
  </si>
  <si>
    <t xml:space="preserve">Weak prompt ("Look at our budget numbers") should produce generic commentary with no reference to these specific line items. Strong GCSE prompt should name this workbook, compare Q3 budget vs actuals, explain these top 3 variances, and format the output as a short report for Friday's leadership review.</t>
  </si>
</sst>
</file>

<file path=xl/styles.xml><?xml version="1.0" encoding="utf-8"?>
<styleSheet xmlns="http://schemas.openxmlformats.org/spreadsheetml/2006/main">
  <numFmts count="3">
    <numFmt numFmtId="164" formatCode="General"/>
    <numFmt numFmtId="165" formatCode="\$#,##0;&quot;($&quot;#,##0\);\-"/>
    <numFmt numFmtId="166" formatCode="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i val="true"/>
      <sz val="9"/>
      <color rgb="FF808080"/>
      <name val="Arial"/>
      <family val="0"/>
      <charset val="1"/>
    </font>
    <font>
      <b val="true"/>
      <sz val="10"/>
      <color rgb="FFFFFFFF"/>
      <name val="Arial"/>
      <family val="0"/>
      <charset val="1"/>
    </font>
    <font>
      <b val="true"/>
      <sz val="11"/>
      <name val="Arial"/>
      <family val="0"/>
      <charset val="1"/>
    </font>
    <font>
      <sz val="10"/>
      <name val="Arial"/>
      <family val="0"/>
      <charset val="1"/>
    </font>
    <font>
      <sz val="10"/>
      <color rgb="FF0000FF"/>
      <name val="Arial"/>
      <family val="0"/>
      <charset val="1"/>
    </font>
    <font>
      <sz val="10"/>
      <color rgb="FF000000"/>
      <name val="Arial"/>
      <family val="0"/>
      <charset val="1"/>
    </font>
    <font>
      <b val="true"/>
      <sz val="10"/>
      <name val="Arial"/>
      <family val="0"/>
      <charset val="1"/>
    </font>
    <font>
      <b val="true"/>
      <sz val="12"/>
      <name val="Arial"/>
      <family val="0"/>
      <charset val="1"/>
    </font>
  </fonts>
  <fills count="5">
    <fill>
      <patternFill patternType="none"/>
    </fill>
    <fill>
      <patternFill patternType="gray125"/>
    </fill>
    <fill>
      <patternFill patternType="solid">
        <fgColor rgb="FF2F5496"/>
        <bgColor rgb="FF666699"/>
      </patternFill>
    </fill>
    <fill>
      <patternFill patternType="solid">
        <fgColor rgb="FFD9E1F2"/>
        <bgColor rgb="FFD9D9D9"/>
      </patternFill>
    </fill>
    <fill>
      <patternFill patternType="solid">
        <fgColor rgb="FFBDD7EE"/>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66" fontId="12" fillId="3"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2"/>
    <col collapsed="false" customWidth="true" hidden="false" outlineLevel="0" max="4" min="4" style="0" width="13"/>
    <col collapsed="false" customWidth="true" hidden="false" outlineLevel="0" max="5" min="5" style="0" width="12"/>
    <col collapsed="false" customWidth="true" hidden="false" outlineLevel="0" max="6" min="6" style="0" width="11"/>
    <col collapsed="false" customWidth="true" hidden="false" outlineLevel="0" max="7" min="7" style="0" width="4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t="s">
        <v>4</v>
      </c>
      <c r="C5" s="4" t="s">
        <v>5</v>
      </c>
      <c r="D5" s="4" t="s">
        <v>6</v>
      </c>
      <c r="E5" s="4" t="s">
        <v>7</v>
      </c>
      <c r="F5" s="4" t="s">
        <v>8</v>
      </c>
      <c r="G5" s="4" t="s">
        <v>9</v>
      </c>
    </row>
    <row r="6" customFormat="false" ht="15" hidden="false" customHeight="false" outlineLevel="0" collapsed="false">
      <c r="A6" s="5" t="s">
        <v>10</v>
      </c>
      <c r="B6" s="5"/>
      <c r="C6" s="5"/>
      <c r="D6" s="5"/>
      <c r="E6" s="5"/>
      <c r="F6" s="5"/>
      <c r="G6" s="5"/>
    </row>
    <row r="7" customFormat="false" ht="15" hidden="false" customHeight="false" outlineLevel="0" collapsed="false">
      <c r="A7" s="6" t="s">
        <v>11</v>
      </c>
      <c r="B7" s="7" t="n">
        <v>180</v>
      </c>
      <c r="C7" s="7" t="n">
        <v>227</v>
      </c>
      <c r="D7" s="8" t="n">
        <f aca="false">C7-B7</f>
        <v>47</v>
      </c>
      <c r="E7" s="9" t="n">
        <f aca="false">IFERROR(D7/B7,0)</f>
        <v>0.261111111111111</v>
      </c>
      <c r="F7" s="10" t="str">
        <f aca="false">IF(D7&gt;0,"Over","On/Under")</f>
        <v>Over</v>
      </c>
      <c r="G7" s="6" t="s">
        <v>12</v>
      </c>
    </row>
    <row r="8" customFormat="false" ht="15" hidden="false" customHeight="false" outlineLevel="0" collapsed="false">
      <c r="A8" s="6" t="s">
        <v>13</v>
      </c>
      <c r="B8" s="7" t="n">
        <v>95</v>
      </c>
      <c r="C8" s="7" t="n">
        <v>88</v>
      </c>
      <c r="D8" s="8" t="n">
        <f aca="false">C8-B8</f>
        <v>-7</v>
      </c>
      <c r="E8" s="9" t="n">
        <f aca="false">IFERROR(D8/B8,0)</f>
        <v>-0.0736842105263158</v>
      </c>
      <c r="F8" s="10" t="str">
        <f aca="false">IF(D8&gt;0,"Over","On/Under")</f>
        <v>On/Under</v>
      </c>
      <c r="G8" s="6" t="s">
        <v>14</v>
      </c>
    </row>
    <row r="9" customFormat="false" ht="15" hidden="false" customHeight="false" outlineLevel="0" collapsed="false">
      <c r="A9" s="6" t="s">
        <v>15</v>
      </c>
      <c r="B9" s="7" t="n">
        <v>60</v>
      </c>
      <c r="C9" s="7" t="n">
        <v>62</v>
      </c>
      <c r="D9" s="8" t="n">
        <f aca="false">C9-B9</f>
        <v>2</v>
      </c>
      <c r="E9" s="9" t="n">
        <f aca="false">IFERROR(D9/B9,0)</f>
        <v>0.0333333333333333</v>
      </c>
      <c r="F9" s="10" t="str">
        <f aca="false">IF(D9&gt;0,"Over","On/Under")</f>
        <v>Over</v>
      </c>
      <c r="G9" s="6"/>
    </row>
    <row r="10" customFormat="false" ht="15" hidden="false" customHeight="false" outlineLevel="0" collapsed="false">
      <c r="A10" s="6" t="s">
        <v>16</v>
      </c>
      <c r="B10" s="7" t="n">
        <v>40</v>
      </c>
      <c r="C10" s="7" t="n">
        <v>41</v>
      </c>
      <c r="D10" s="8" t="n">
        <f aca="false">C10-B10</f>
        <v>1</v>
      </c>
      <c r="E10" s="9" t="n">
        <f aca="false">IFERROR(D10/B10,0)</f>
        <v>0.025</v>
      </c>
      <c r="F10" s="10" t="str">
        <f aca="false">IF(D10&gt;0,"Over","On/Under")</f>
        <v>Over</v>
      </c>
      <c r="G10" s="6"/>
    </row>
    <row r="11" customFormat="false" ht="15" hidden="false" customHeight="false" outlineLevel="0" collapsed="false">
      <c r="A11" s="11" t="s">
        <v>17</v>
      </c>
      <c r="B11" s="12" t="n">
        <f aca="false">SUM(B7:B10)</f>
        <v>375</v>
      </c>
      <c r="C11" s="12" t="n">
        <f aca="false">SUM(C7:C10)</f>
        <v>418</v>
      </c>
      <c r="D11" s="12" t="n">
        <f aca="false">C11-B11</f>
        <v>43</v>
      </c>
      <c r="E11" s="13" t="n">
        <f aca="false">IFERROR(D11/B11,0)</f>
        <v>0.114666666666667</v>
      </c>
      <c r="F11" s="11" t="str">
        <f aca="false">IF(D11&gt;0,"Over","On/Under")</f>
        <v>Over</v>
      </c>
      <c r="G11" s="11"/>
    </row>
    <row r="13" customFormat="false" ht="15" hidden="false" customHeight="false" outlineLevel="0" collapsed="false">
      <c r="A13" s="5" t="s">
        <v>18</v>
      </c>
      <c r="B13" s="5"/>
      <c r="C13" s="5"/>
      <c r="D13" s="5"/>
      <c r="E13" s="5"/>
      <c r="F13" s="5"/>
      <c r="G13" s="5"/>
    </row>
    <row r="14" customFormat="false" ht="15" hidden="false" customHeight="false" outlineLevel="0" collapsed="false">
      <c r="A14" s="6" t="s">
        <v>19</v>
      </c>
      <c r="B14" s="7" t="n">
        <v>55</v>
      </c>
      <c r="C14" s="7" t="n">
        <v>53</v>
      </c>
      <c r="D14" s="8" t="n">
        <f aca="false">C14-B14</f>
        <v>-2</v>
      </c>
      <c r="E14" s="9" t="n">
        <f aca="false">IFERROR(D14/B14,0)</f>
        <v>-0.0363636363636364</v>
      </c>
      <c r="F14" s="10" t="str">
        <f aca="false">IF(D14&gt;0,"Over","On/Under")</f>
        <v>On/Under</v>
      </c>
      <c r="G14" s="6"/>
    </row>
    <row r="15" customFormat="false" ht="15" hidden="false" customHeight="false" outlineLevel="0" collapsed="false">
      <c r="A15" s="6" t="s">
        <v>20</v>
      </c>
      <c r="B15" s="7" t="n">
        <v>30</v>
      </c>
      <c r="C15" s="7" t="n">
        <v>34</v>
      </c>
      <c r="D15" s="8" t="n">
        <f aca="false">C15-B15</f>
        <v>4</v>
      </c>
      <c r="E15" s="9" t="n">
        <f aca="false">IFERROR(D15/B15,0)</f>
        <v>0.133333333333333</v>
      </c>
      <c r="F15" s="10" t="str">
        <f aca="false">IF(D15&gt;0,"Over","On/Under")</f>
        <v>Over</v>
      </c>
      <c r="G15" s="6" t="s">
        <v>21</v>
      </c>
    </row>
    <row r="16" customFormat="false" ht="15" hidden="false" customHeight="false" outlineLevel="0" collapsed="false">
      <c r="A16" s="6" t="s">
        <v>22</v>
      </c>
      <c r="B16" s="7" t="n">
        <v>25</v>
      </c>
      <c r="C16" s="7" t="n">
        <v>18</v>
      </c>
      <c r="D16" s="8" t="n">
        <f aca="false">C16-B16</f>
        <v>-7</v>
      </c>
      <c r="E16" s="9" t="n">
        <f aca="false">IFERROR(D16/B16,0)</f>
        <v>-0.28</v>
      </c>
      <c r="F16" s="10" t="str">
        <f aca="false">IF(D16&gt;0,"Over","On/Under")</f>
        <v>On/Under</v>
      </c>
      <c r="G16" s="6" t="s">
        <v>23</v>
      </c>
    </row>
    <row r="17" customFormat="false" ht="15" hidden="false" customHeight="false" outlineLevel="0" collapsed="false">
      <c r="A17" s="11" t="s">
        <v>24</v>
      </c>
      <c r="B17" s="12" t="n">
        <f aca="false">SUM(B14:B16)</f>
        <v>110</v>
      </c>
      <c r="C17" s="12" t="n">
        <f aca="false">SUM(C14:C16)</f>
        <v>105</v>
      </c>
      <c r="D17" s="12" t="n">
        <f aca="false">C17-B17</f>
        <v>-5</v>
      </c>
      <c r="E17" s="13" t="n">
        <f aca="false">IFERROR(D17/B17,0)</f>
        <v>-0.0454545454545455</v>
      </c>
      <c r="F17" s="11" t="str">
        <f aca="false">IF(D17&gt;0,"Over","On/Under")</f>
        <v>On/Under</v>
      </c>
      <c r="G17" s="11"/>
    </row>
    <row r="19" customFormat="false" ht="15" hidden="false" customHeight="false" outlineLevel="0" collapsed="false">
      <c r="A19" s="5" t="s">
        <v>25</v>
      </c>
      <c r="B19" s="5"/>
      <c r="C19" s="5"/>
      <c r="D19" s="5"/>
      <c r="E19" s="5"/>
      <c r="F19" s="5"/>
      <c r="G19" s="5"/>
    </row>
    <row r="20" customFormat="false" ht="15" hidden="false" customHeight="false" outlineLevel="0" collapsed="false">
      <c r="A20" s="6" t="s">
        <v>26</v>
      </c>
      <c r="B20" s="7" t="n">
        <v>210</v>
      </c>
      <c r="C20" s="7" t="n">
        <v>198</v>
      </c>
      <c r="D20" s="8" t="n">
        <f aca="false">C20-B20</f>
        <v>-12</v>
      </c>
      <c r="E20" s="9" t="n">
        <f aca="false">IFERROR(D20/B20,0)</f>
        <v>-0.0571428571428571</v>
      </c>
      <c r="F20" s="10" t="str">
        <f aca="false">IF(D20&gt;0,"Over","On/Under")</f>
        <v>On/Under</v>
      </c>
      <c r="G20" s="6"/>
    </row>
    <row r="21" customFormat="false" ht="15" hidden="false" customHeight="false" outlineLevel="0" collapsed="false">
      <c r="A21" s="6" t="s">
        <v>27</v>
      </c>
      <c r="B21" s="7" t="n">
        <v>85</v>
      </c>
      <c r="C21" s="7" t="n">
        <v>112</v>
      </c>
      <c r="D21" s="8" t="n">
        <f aca="false">C21-B21</f>
        <v>27</v>
      </c>
      <c r="E21" s="9" t="n">
        <f aca="false">IFERROR(D21/B21,0)</f>
        <v>0.317647058823529</v>
      </c>
      <c r="F21" s="10" t="str">
        <f aca="false">IF(D21&gt;0,"Over","On/Under")</f>
        <v>Over</v>
      </c>
      <c r="G21" s="6" t="s">
        <v>28</v>
      </c>
    </row>
    <row r="22" customFormat="false" ht="15" hidden="false" customHeight="false" outlineLevel="0" collapsed="false">
      <c r="A22" s="6" t="s">
        <v>29</v>
      </c>
      <c r="B22" s="7" t="n">
        <v>35</v>
      </c>
      <c r="C22" s="7" t="n">
        <v>33</v>
      </c>
      <c r="D22" s="8" t="n">
        <f aca="false">C22-B22</f>
        <v>-2</v>
      </c>
      <c r="E22" s="9" t="n">
        <f aca="false">IFERROR(D22/B22,0)</f>
        <v>-0.0571428571428571</v>
      </c>
      <c r="F22" s="10" t="str">
        <f aca="false">IF(D22&gt;0,"Over","On/Under")</f>
        <v>On/Under</v>
      </c>
      <c r="G22" s="6"/>
    </row>
    <row r="23" customFormat="false" ht="15" hidden="false" customHeight="false" outlineLevel="0" collapsed="false">
      <c r="A23" s="11" t="s">
        <v>30</v>
      </c>
      <c r="B23" s="12" t="n">
        <f aca="false">SUM(B20:B22)</f>
        <v>330</v>
      </c>
      <c r="C23" s="12" t="n">
        <f aca="false">SUM(C20:C22)</f>
        <v>343</v>
      </c>
      <c r="D23" s="12" t="n">
        <f aca="false">C23-B23</f>
        <v>13</v>
      </c>
      <c r="E23" s="13" t="n">
        <f aca="false">IFERROR(D23/B23,0)</f>
        <v>0.0393939393939394</v>
      </c>
      <c r="F23" s="11" t="str">
        <f aca="false">IF(D23&gt;0,"Over","On/Under")</f>
        <v>Over</v>
      </c>
      <c r="G23" s="11"/>
    </row>
    <row r="25" customFormat="false" ht="15" hidden="false" customHeight="false" outlineLevel="0" collapsed="false">
      <c r="A25" s="5" t="s">
        <v>31</v>
      </c>
      <c r="B25" s="5"/>
      <c r="C25" s="5"/>
      <c r="D25" s="5"/>
      <c r="E25" s="5"/>
      <c r="F25" s="5"/>
      <c r="G25" s="5"/>
    </row>
    <row r="26" customFormat="false" ht="15" hidden="false" customHeight="false" outlineLevel="0" collapsed="false">
      <c r="A26" s="6" t="s">
        <v>32</v>
      </c>
      <c r="B26" s="7" t="n">
        <v>70</v>
      </c>
      <c r="C26" s="7" t="n">
        <v>69</v>
      </c>
      <c r="D26" s="8" t="n">
        <f aca="false">C26-B26</f>
        <v>-1</v>
      </c>
      <c r="E26" s="9" t="n">
        <f aca="false">IFERROR(D26/B26,0)</f>
        <v>-0.0142857142857143</v>
      </c>
      <c r="F26" s="10" t="str">
        <f aca="false">IF(D26&gt;0,"Over","On/Under")</f>
        <v>On/Under</v>
      </c>
      <c r="G26" s="6"/>
    </row>
    <row r="27" customFormat="false" ht="15" hidden="false" customHeight="false" outlineLevel="0" collapsed="false">
      <c r="A27" s="6" t="s">
        <v>33</v>
      </c>
      <c r="B27" s="7" t="n">
        <v>45</v>
      </c>
      <c r="C27" s="7" t="n">
        <v>58</v>
      </c>
      <c r="D27" s="8" t="n">
        <f aca="false">C27-B27</f>
        <v>13</v>
      </c>
      <c r="E27" s="9" t="n">
        <f aca="false">IFERROR(D27/B27,0)</f>
        <v>0.288888888888889</v>
      </c>
      <c r="F27" s="10" t="str">
        <f aca="false">IF(D27&gt;0,"Over","On/Under")</f>
        <v>Over</v>
      </c>
      <c r="G27" s="6" t="s">
        <v>34</v>
      </c>
    </row>
    <row r="28" customFormat="false" ht="15" hidden="false" customHeight="false" outlineLevel="0" collapsed="false">
      <c r="A28" s="6" t="s">
        <v>35</v>
      </c>
      <c r="B28" s="7" t="n">
        <v>20</v>
      </c>
      <c r="C28" s="7" t="n">
        <v>15</v>
      </c>
      <c r="D28" s="8" t="n">
        <f aca="false">C28-B28</f>
        <v>-5</v>
      </c>
      <c r="E28" s="9" t="n">
        <f aca="false">IFERROR(D28/B28,0)</f>
        <v>-0.25</v>
      </c>
      <c r="F28" s="10" t="str">
        <f aca="false">IF(D28&gt;0,"Over","On/Under")</f>
        <v>On/Under</v>
      </c>
      <c r="G28" s="6"/>
    </row>
    <row r="29" customFormat="false" ht="15" hidden="false" customHeight="false" outlineLevel="0" collapsed="false">
      <c r="A29" s="11" t="s">
        <v>36</v>
      </c>
      <c r="B29" s="12" t="n">
        <f aca="false">SUM(B26:B28)</f>
        <v>135</v>
      </c>
      <c r="C29" s="12" t="n">
        <f aca="false">SUM(C26:C28)</f>
        <v>142</v>
      </c>
      <c r="D29" s="12" t="n">
        <f aca="false">C29-B29</f>
        <v>7</v>
      </c>
      <c r="E29" s="13" t="n">
        <f aca="false">IFERROR(D29/B29,0)</f>
        <v>0.0518518518518519</v>
      </c>
      <c r="F29" s="11" t="str">
        <f aca="false">IF(D29&gt;0,"Over","On/Under")</f>
        <v>Over</v>
      </c>
      <c r="G29" s="11"/>
    </row>
    <row r="31" customFormat="false" ht="15" hidden="false" customHeight="false" outlineLevel="0" collapsed="false">
      <c r="A31" s="14" t="s">
        <v>37</v>
      </c>
      <c r="B31" s="15" t="n">
        <f aca="false">B11+B17+B23+B29</f>
        <v>950</v>
      </c>
      <c r="C31" s="15" t="n">
        <f aca="false">C11+C17+C23+C29</f>
        <v>1008</v>
      </c>
      <c r="D31" s="15" t="n">
        <f aca="false">C31-B31</f>
        <v>58</v>
      </c>
      <c r="E31" s="16" t="n">
        <f aca="false">IFERROR(D31/B31,0)</f>
        <v>0.0610526315789474</v>
      </c>
      <c r="F31" s="14" t="str">
        <f aca="false">IF(D31&gt;0,"Over","On/Under")</f>
        <v>Over</v>
      </c>
      <c r="G31"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5"/>
  </cols>
  <sheetData>
    <row r="1" customFormat="false" ht="15" hidden="false" customHeight="false" outlineLevel="0" collapsed="false">
      <c r="A1" s="18" t="s">
        <v>38</v>
      </c>
    </row>
    <row r="2" customFormat="false" ht="15" hidden="false" customHeight="false" outlineLevel="0" collapsed="false">
      <c r="A2" s="19"/>
      <c r="B2" s="20"/>
    </row>
    <row r="3" customFormat="false" ht="23.85" hidden="false" customHeight="false" outlineLevel="0" collapsed="false">
      <c r="A3" s="19" t="s">
        <v>39</v>
      </c>
      <c r="B3" s="20" t="s">
        <v>40</v>
      </c>
    </row>
    <row r="4" customFormat="false" ht="15" hidden="false" customHeight="false" outlineLevel="0" collapsed="false">
      <c r="A4" s="19" t="s">
        <v>41</v>
      </c>
      <c r="B4" s="20" t="s">
        <v>42</v>
      </c>
    </row>
    <row r="5" customFormat="false" ht="23.85" hidden="false" customHeight="false" outlineLevel="0" collapsed="false">
      <c r="A5" s="19" t="s">
        <v>43</v>
      </c>
      <c r="B5" s="20" t="s">
        <v>44</v>
      </c>
    </row>
    <row r="6" customFormat="false" ht="15" hidden="false" customHeight="false" outlineLevel="0" collapsed="false">
      <c r="A6" s="19" t="s">
        <v>45</v>
      </c>
      <c r="B6" s="20"/>
    </row>
    <row r="7" customFormat="false" ht="15" hidden="false" customHeight="false" outlineLevel="0" collapsed="false">
      <c r="A7" s="19" t="s">
        <v>46</v>
      </c>
      <c r="B7" s="20" t="s">
        <v>47</v>
      </c>
    </row>
    <row r="8" customFormat="false" ht="15" hidden="false" customHeight="false" outlineLevel="0" collapsed="false">
      <c r="A8" s="19" t="s">
        <v>48</v>
      </c>
      <c r="B8" s="20" t="s">
        <v>49</v>
      </c>
    </row>
    <row r="9" customFormat="false" ht="15" hidden="false" customHeight="false" outlineLevel="0" collapsed="false">
      <c r="A9" s="19" t="s">
        <v>50</v>
      </c>
      <c r="B9" s="20" t="s">
        <v>51</v>
      </c>
    </row>
    <row r="10" customFormat="false" ht="15" hidden="false" customHeight="false" outlineLevel="0" collapsed="false">
      <c r="A10" s="19"/>
      <c r="B10" s="20"/>
    </row>
    <row r="11" customFormat="false" ht="46.25" hidden="false" customHeight="false" outlineLevel="0" collapsed="false">
      <c r="A11" s="19" t="s">
        <v>52</v>
      </c>
      <c r="B11" s="20"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2026-09-08T07:48:01Z</dcterms:created>
  <dc:creator>openpyxl</dc:creator>
  <dc:description/>
  <dc:language>en-US</dc:language>
  <cp:lastModifiedBy/>
  <dcterms:modified xsi:type="dcterms:W3CDTF">2026-09-08T07:48:01Z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